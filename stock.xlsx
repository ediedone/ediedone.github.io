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.ubuntu_ws\ediedone.github.io\"/>
    </mc:Choice>
  </mc:AlternateContent>
  <xr:revisionPtr revIDLastSave="0" documentId="13_ncr:1_{09399B32-A8E7-417C-BCCF-8A1606ED5751}" xr6:coauthVersionLast="47" xr6:coauthVersionMax="47" xr10:uidLastSave="{00000000-0000-0000-0000-000000000000}"/>
  <bookViews>
    <workbookView xWindow="-98" yWindow="-98" windowWidth="28996" windowHeight="15675" xr2:uid="{69258048-4F87-458D-9BA6-694171A7783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<sst xmlns="http://schemas.openxmlformats.org/spreadsheetml/2006/main" count="76" uniqueCount="63">
  <si>
    <t>净值</t>
  </si>
  <si>
    <t>食品饮料</t>
  </si>
  <si>
    <t>房地产</t>
  </si>
  <si>
    <t>路劲</t>
  </si>
  <si>
    <t>-</t>
  </si>
  <si>
    <t>绿城中国</t>
  </si>
  <si>
    <t>银行</t>
  </si>
  <si>
    <t>民生银行</t>
  </si>
  <si>
    <t>非银金融</t>
  </si>
  <si>
    <t>新华保险H</t>
  </si>
  <si>
    <t>软件服务</t>
  </si>
  <si>
    <t>腾讯控股D</t>
  </si>
  <si>
    <t>腾讯控股F</t>
  </si>
  <si>
    <t>医疗保健</t>
  </si>
  <si>
    <t>微创医疗</t>
  </si>
  <si>
    <t>ETF</t>
  </si>
  <si>
    <t>恒指科技ETF</t>
  </si>
  <si>
    <t>交通运输</t>
  </si>
  <si>
    <t xml:space="preserve"> 上海机场</t>
  </si>
  <si>
    <t>公用事业</t>
  </si>
  <si>
    <t>北控水务集团</t>
  </si>
  <si>
    <t>家用电器</t>
  </si>
  <si>
    <t>美的集团</t>
  </si>
  <si>
    <t>旅游及消闲设施</t>
  </si>
  <si>
    <t>澳博控股</t>
  </si>
  <si>
    <t>电力设备</t>
  </si>
  <si>
    <t>降基绿能</t>
  </si>
  <si>
    <t>港股抄作业</t>
  </si>
  <si>
    <t>福寿园</t>
  </si>
  <si>
    <t xml:space="preserve"> 计算机及网络</t>
  </si>
  <si>
    <t xml:space="preserve"> 通讯业务</t>
  </si>
  <si>
    <t>哔哩哔哩</t>
  </si>
  <si>
    <t>其他</t>
  </si>
  <si>
    <t>食物饮品</t>
  </si>
  <si>
    <t>古井贡B</t>
  </si>
  <si>
    <t>flx</t>
  </si>
  <si>
    <t>总净值</t>
    <phoneticPr fontId="16" type="noConversion"/>
  </si>
  <si>
    <t>周涨幅</t>
    <phoneticPr fontId="16" type="noConversion"/>
  </si>
  <si>
    <t>总收益</t>
    <phoneticPr fontId="16" type="noConversion"/>
  </si>
  <si>
    <t>仓位</t>
    <phoneticPr fontId="16" type="noConversion"/>
  </si>
  <si>
    <t>人民币</t>
    <phoneticPr fontId="16" type="noConversion"/>
  </si>
  <si>
    <t>行业</t>
    <phoneticPr fontId="16" type="noConversion"/>
  </si>
  <si>
    <t>行业占比</t>
    <phoneticPr fontId="16" type="noConversion"/>
  </si>
  <si>
    <t>公司</t>
    <phoneticPr fontId="16" type="noConversion"/>
  </si>
  <si>
    <t>公司占比</t>
    <phoneticPr fontId="16" type="noConversion"/>
  </si>
  <si>
    <t>市值</t>
    <phoneticPr fontId="16" type="noConversion"/>
  </si>
  <si>
    <t>买入</t>
    <phoneticPr fontId="16" type="noConversion"/>
  </si>
  <si>
    <t>卖出</t>
    <phoneticPr fontId="16" type="noConversion"/>
  </si>
  <si>
    <t>美元</t>
    <phoneticPr fontId="16" type="noConversion"/>
  </si>
  <si>
    <t>客户</t>
    <phoneticPr fontId="16" type="noConversion"/>
  </si>
  <si>
    <t>姓名</t>
    <phoneticPr fontId="16" type="noConversion"/>
  </si>
  <si>
    <t>份额</t>
    <phoneticPr fontId="16" type="noConversion"/>
  </si>
  <si>
    <t>涨跌</t>
    <phoneticPr fontId="16" type="noConversion"/>
  </si>
  <si>
    <r>
      <rPr>
        <sz val="10"/>
        <color theme="1"/>
        <rFont val="宋体"/>
        <family val="3"/>
        <charset val="134"/>
      </rPr>
      <t>中概互联</t>
    </r>
    <r>
      <rPr>
        <sz val="10"/>
        <color theme="1"/>
        <rFont val="Times New Roman"/>
        <family val="1"/>
      </rPr>
      <t>ETF</t>
    </r>
    <phoneticPr fontId="16" type="noConversion"/>
  </si>
  <si>
    <r>
      <rPr>
        <sz val="10"/>
        <color theme="1"/>
        <rFont val="宋体"/>
        <family val="3"/>
        <charset val="134"/>
      </rPr>
      <t>恒生</t>
    </r>
    <r>
      <rPr>
        <sz val="10"/>
        <color theme="1"/>
        <rFont val="Times New Roman"/>
        <family val="1"/>
      </rPr>
      <t>ETF</t>
    </r>
    <phoneticPr fontId="16" type="noConversion"/>
  </si>
  <si>
    <t>挚文集团</t>
    <phoneticPr fontId="16" type="noConversion"/>
  </si>
  <si>
    <r>
      <rPr>
        <sz val="10"/>
        <color theme="1"/>
        <rFont val="宋体"/>
        <family val="3"/>
        <charset val="134"/>
      </rPr>
      <t>美国生科</t>
    </r>
    <r>
      <rPr>
        <sz val="10"/>
        <color theme="1"/>
        <rFont val="Times New Roman"/>
        <family val="1"/>
      </rPr>
      <t>ETF</t>
    </r>
    <phoneticPr fontId="16" type="noConversion"/>
  </si>
  <si>
    <r>
      <rPr>
        <sz val="10"/>
        <color theme="1"/>
        <rFont val="宋体"/>
        <family val="3"/>
        <charset val="134"/>
      </rPr>
      <t>腾讯控股</t>
    </r>
    <r>
      <rPr>
        <sz val="10"/>
        <color theme="1"/>
        <rFont val="Times New Roman"/>
        <family val="1"/>
      </rPr>
      <t>L</t>
    </r>
    <phoneticPr fontId="16" type="noConversion"/>
  </si>
  <si>
    <r>
      <rPr>
        <sz val="10"/>
        <color theme="1"/>
        <rFont val="宋体"/>
        <family val="3"/>
        <charset val="134"/>
      </rPr>
      <t>洋河股份</t>
    </r>
    <r>
      <rPr>
        <sz val="10"/>
        <color theme="1"/>
        <rFont val="Times New Roman"/>
        <family val="1"/>
      </rPr>
      <t>D</t>
    </r>
    <phoneticPr fontId="16" type="noConversion"/>
  </si>
  <si>
    <r>
      <rPr>
        <sz val="10"/>
        <color theme="1"/>
        <rFont val="宋体"/>
        <family val="3"/>
        <charset val="134"/>
      </rPr>
      <t>洋河股份</t>
    </r>
    <r>
      <rPr>
        <sz val="10"/>
        <color theme="1"/>
        <rFont val="Times New Roman"/>
        <family val="1"/>
      </rPr>
      <t>L</t>
    </r>
    <phoneticPr fontId="16" type="noConversion"/>
  </si>
  <si>
    <r>
      <rPr>
        <sz val="10"/>
        <color theme="1"/>
        <rFont val="宋体"/>
        <family val="3"/>
        <charset val="134"/>
      </rPr>
      <t>洋河股份</t>
    </r>
    <r>
      <rPr>
        <sz val="10"/>
        <color theme="1"/>
        <rFont val="Times New Roman"/>
        <family val="1"/>
      </rPr>
      <t>F</t>
    </r>
    <phoneticPr fontId="16" type="noConversion"/>
  </si>
  <si>
    <t>海天味业</t>
    <phoneticPr fontId="16" type="noConversion"/>
  </si>
  <si>
    <t>思摩尔国际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</si>
</sst>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1">
    <font>
      <sz val="10"/>
      <color theme="1"/>
      <name val="Liberation Sans"/>
      <family val="1"/>
    </font>
    <font>
      <sz val="10"/>
      <color theme="1"/>
      <name val="Liberation Sans"/>
      <family val="1"/>
    </font>
    <font>
      <b/>
      <sz val="10"/>
      <color rgb="FF000000"/>
      <name val="Liberation Sans"/>
      <family val="1"/>
    </font>
    <font>
      <sz val="10"/>
      <color rgb="FFFFFFFF"/>
      <name val="Liberation Sans"/>
      <family val="1"/>
    </font>
    <font>
      <sz val="10"/>
      <color rgb="FFCC0000"/>
      <name val="Liberation Sans"/>
      <family val="1"/>
    </font>
    <font>
      <b/>
      <sz val="10"/>
      <color rgb="FFFFFFFF"/>
      <name val="Liberation Sans"/>
      <family val="1"/>
    </font>
    <font>
      <i/>
      <sz val="10"/>
      <color rgb="FF808080"/>
      <name val="Liberation Sans"/>
      <family val="1"/>
    </font>
    <font>
      <sz val="10"/>
      <color rgb="FF006600"/>
      <name val="Liberation Sans"/>
      <family val="1"/>
    </font>
    <font>
      <b/>
      <sz val="24"/>
      <color rgb="FF000000"/>
      <name val="Liberation Sans"/>
      <family val="1"/>
    </font>
    <font>
      <sz val="18"/>
      <color rgb="FF000000"/>
      <name val="Liberation Sans"/>
      <family val="1"/>
    </font>
    <font>
      <sz val="12"/>
      <color rgb="FF000000"/>
      <name val="Liberation Sans"/>
      <family val="1"/>
    </font>
    <font>
      <u/>
      <sz val="10"/>
      <color rgb="FF0000EE"/>
      <name val="Liberation Sans"/>
      <family val="1"/>
    </font>
    <font>
      <sz val="10"/>
      <color rgb="FF996600"/>
      <name val="Liberation Sans"/>
      <family val="1"/>
    </font>
    <font>
      <sz val="10"/>
      <color rgb="FF333333"/>
      <name val="Liberation Sans"/>
      <family val="1"/>
    </font>
    <font>
      <b/>
      <i/>
      <u/>
      <sz val="10"/>
      <color rgb="FF000000"/>
      <name val="Liberation Sans"/>
      <family val="1"/>
    </font>
    <font>
      <sz val="10"/>
      <color theme="1"/>
      <name val="Liberation Sans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Liberation Sans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8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2" xfId="6" applyFont="1" applyBorder="1" applyAlignment="1">
      <alignment horizontal="center" vertical="center"/>
    </xf>
    <xf numFmtId="0" fontId="0" fillId="0" borderId="2" xfId="6" applyFont="1" applyFill="1" applyBorder="1" applyAlignment="1">
      <alignment horizontal="center" vertical="center"/>
    </xf>
    <xf numFmtId="176" fontId="15" fillId="0" borderId="2" xfId="6" applyNumberFormat="1" applyFont="1" applyFill="1" applyBorder="1" applyAlignment="1">
      <alignment horizontal="center" vertical="center"/>
    </xf>
    <xf numFmtId="10" fontId="0" fillId="0" borderId="2" xfId="6" applyNumberFormat="1" applyFont="1" applyFill="1" applyBorder="1" applyAlignment="1">
      <alignment horizontal="center" vertical="center"/>
    </xf>
    <xf numFmtId="2" fontId="0" fillId="0" borderId="2" xfId="6" applyNumberFormat="1" applyFont="1" applyFill="1" applyBorder="1" applyAlignment="1">
      <alignment horizontal="center" vertical="center"/>
    </xf>
    <xf numFmtId="0" fontId="15" fillId="0" borderId="2" xfId="6" applyFont="1" applyBorder="1" applyAlignment="1">
      <alignment horizontal="center" vertical="center"/>
    </xf>
    <xf numFmtId="10" fontId="0" fillId="0" borderId="2" xfId="6" applyNumberFormat="1" applyFont="1" applyFill="1" applyBorder="1">
      <alignment vertical="center"/>
    </xf>
    <xf numFmtId="2" fontId="0" fillId="0" borderId="2" xfId="6" applyNumberFormat="1" applyFont="1" applyBorder="1">
      <alignment vertical="center"/>
    </xf>
    <xf numFmtId="2" fontId="0" fillId="0" borderId="2" xfId="6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17" fillId="0" borderId="2" xfId="6" applyFont="1" applyBorder="1" applyAlignment="1">
      <alignment horizontal="center" vertical="center"/>
    </xf>
    <xf numFmtId="0" fontId="17" fillId="0" borderId="2" xfId="6" applyFont="1" applyFill="1" applyBorder="1" applyAlignment="1">
      <alignment horizontal="center" vertical="center"/>
    </xf>
    <xf numFmtId="0" fontId="15" fillId="0" borderId="0" xfId="6" applyFont="1" applyBorder="1" applyAlignment="1">
      <alignment horizontal="center" vertical="center"/>
    </xf>
    <xf numFmtId="10" fontId="0" fillId="0" borderId="0" xfId="6" applyNumberFormat="1" applyFont="1" applyFill="1" applyBorder="1" applyAlignment="1">
      <alignment horizontal="right" vertical="center"/>
    </xf>
    <xf numFmtId="10" fontId="15" fillId="0" borderId="0" xfId="6" applyNumberFormat="1" applyFont="1" applyFill="1" applyBorder="1" applyAlignment="1">
      <alignment horizontal="center" vertical="center"/>
    </xf>
    <xf numFmtId="10" fontId="0" fillId="0" borderId="0" xfId="6" applyNumberFormat="1" applyFont="1" applyFill="1" applyBorder="1">
      <alignment vertical="center"/>
    </xf>
    <xf numFmtId="2" fontId="0" fillId="0" borderId="0" xfId="6" applyNumberFormat="1" applyFont="1" applyBorder="1">
      <alignment vertical="center"/>
    </xf>
    <xf numFmtId="0" fontId="0" fillId="0" borderId="0" xfId="0" applyBorder="1">
      <alignment vertical="center"/>
    </xf>
    <xf numFmtId="0" fontId="0" fillId="0" borderId="0" xfId="6" applyFont="1" applyBorder="1" applyAlignment="1">
      <alignment horizontal="center" vertical="center"/>
    </xf>
    <xf numFmtId="10" fontId="0" fillId="0" borderId="0" xfId="6" applyNumberFormat="1" applyFont="1" applyFill="1" applyBorder="1" applyAlignment="1">
      <alignment horizontal="center" vertical="center"/>
    </xf>
    <xf numFmtId="0" fontId="0" fillId="0" borderId="0" xfId="6" applyFont="1" applyFill="1" applyBorder="1" applyAlignment="1">
      <alignment horizontal="center" vertical="center"/>
    </xf>
    <xf numFmtId="176" fontId="15" fillId="0" borderId="0" xfId="6" applyNumberFormat="1" applyFont="1" applyFill="1" applyBorder="1" applyAlignment="1">
      <alignment horizontal="center" vertical="center"/>
    </xf>
    <xf numFmtId="2" fontId="0" fillId="0" borderId="0" xfId="6" applyNumberFormat="1" applyFont="1" applyFill="1" applyBorder="1" applyAlignment="1">
      <alignment horizontal="center" vertical="center"/>
    </xf>
    <xf numFmtId="0" fontId="1" fillId="0" borderId="0" xfId="6" applyBorder="1">
      <alignment vertical="center"/>
    </xf>
    <xf numFmtId="0" fontId="0" fillId="0" borderId="0" xfId="6" applyFont="1" applyBorder="1" applyAlignment="1">
      <alignment vertical="center"/>
    </xf>
    <xf numFmtId="10" fontId="15" fillId="0" borderId="2" xfId="6" applyNumberFormat="1" applyFont="1" applyFill="1" applyBorder="1" applyAlignment="1">
      <alignment horizontal="center" vertical="center"/>
    </xf>
    <xf numFmtId="10" fontId="20" fillId="0" borderId="2" xfId="6" applyNumberFormat="1" applyFont="1" applyFill="1" applyBorder="1" applyAlignment="1">
      <alignment horizontal="center" vertical="center"/>
    </xf>
    <xf numFmtId="0" fontId="20" fillId="0" borderId="2" xfId="6" applyFont="1" applyFill="1" applyBorder="1" applyAlignment="1">
      <alignment horizontal="center" vertical="center"/>
    </xf>
    <xf numFmtId="10" fontId="17" fillId="0" borderId="2" xfId="6" applyNumberFormat="1" applyFont="1" applyFill="1" applyBorder="1" applyAlignment="1">
      <alignment horizontal="center" vertical="center"/>
    </xf>
    <xf numFmtId="10" fontId="0" fillId="0" borderId="2" xfId="6" applyNumberFormat="1" applyFont="1" applyFill="1" applyBorder="1" applyAlignment="1">
      <alignment horizontal="center" vertical="center"/>
    </xf>
    <xf numFmtId="0" fontId="0" fillId="0" borderId="2" xfId="6" applyFont="1" applyFill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10" fontId="0" fillId="0" borderId="3" xfId="6" applyNumberFormat="1" applyFont="1" applyFill="1" applyBorder="1" applyAlignment="1">
      <alignment horizontal="left" vertical="center"/>
    </xf>
    <xf numFmtId="10" fontId="0" fillId="0" borderId="4" xfId="6" applyNumberFormat="1" applyFont="1" applyFill="1" applyBorder="1" applyAlignment="1">
      <alignment horizontal="left" vertical="center"/>
    </xf>
    <xf numFmtId="10" fontId="0" fillId="0" borderId="3" xfId="6" applyNumberFormat="1" applyFont="1" applyBorder="1" applyAlignment="1">
      <alignment horizontal="left" vertical="center"/>
    </xf>
    <xf numFmtId="10" fontId="0" fillId="0" borderId="4" xfId="6" applyNumberFormat="1" applyFont="1" applyBorder="1" applyAlignment="1">
      <alignment horizontal="left" vertical="center"/>
    </xf>
    <xf numFmtId="0" fontId="0" fillId="0" borderId="2" xfId="6" applyFont="1" applyBorder="1" applyAlignment="1">
      <alignment horizontal="left" vertical="center"/>
    </xf>
    <xf numFmtId="0" fontId="15" fillId="0" borderId="2" xfId="6" applyFont="1" applyBorder="1" applyAlignment="1">
      <alignment horizontal="center" vertical="center"/>
    </xf>
    <xf numFmtId="10" fontId="0" fillId="0" borderId="2" xfId="6" applyNumberFormat="1" applyFont="1" applyFill="1" applyBorder="1" applyAlignment="1">
      <alignment horizontal="right" vertical="center"/>
    </xf>
    <xf numFmtId="10" fontId="0" fillId="0" borderId="2" xfId="6" applyNumberFormat="1" applyFont="1" applyFill="1" applyBorder="1" applyAlignment="1">
      <alignment horizontal="center" vertical="center"/>
    </xf>
    <xf numFmtId="0" fontId="0" fillId="0" borderId="2" xfId="6" applyFont="1" applyFill="1" applyBorder="1" applyAlignment="1">
      <alignment horizontal="center" vertical="center"/>
    </xf>
    <xf numFmtId="0" fontId="0" fillId="0" borderId="2" xfId="6" applyFont="1" applyBorder="1" applyAlignment="1">
      <alignment horizontal="center" vertical="center"/>
    </xf>
  </cellXfs>
  <cellStyles count="20">
    <cellStyle name="Accent" xfId="1" xr:uid="{8BBEF2BD-F411-49F8-A20D-198D170F02E6}"/>
    <cellStyle name="Accent 1" xfId="2" xr:uid="{BF83BAB9-974A-4DEA-AABE-F1D75C522FD1}"/>
    <cellStyle name="Accent 2" xfId="3" xr:uid="{AE50AAA0-54F1-4898-9D43-2BB0D8EE1C12}"/>
    <cellStyle name="Accent 3" xfId="4" xr:uid="{183498F5-55B3-4137-83E8-3BE10BB489AC}"/>
    <cellStyle name="Bad" xfId="5" xr:uid="{FF286391-3FF1-4FC1-BED1-D8825BD1EF5E}"/>
    <cellStyle name="Default" xfId="6" xr:uid="{5A6FE30D-1F99-4B8E-93F3-3D2BC437AB6D}"/>
    <cellStyle name="Error" xfId="7" xr:uid="{D8597E66-08A8-47B4-B142-27467D201F9F}"/>
    <cellStyle name="Footnote" xfId="8" xr:uid="{F25E6F7A-BB78-40C3-8831-F00E2B2F585A}"/>
    <cellStyle name="Good" xfId="9" xr:uid="{889DB859-E622-48FC-A3F7-B2402418860C}"/>
    <cellStyle name="Heading" xfId="10" xr:uid="{7B58BDAA-6068-42A2-BF1E-D3617BBC7891}"/>
    <cellStyle name="Heading 1" xfId="11" xr:uid="{6D76D160-C85C-4A6B-9FAF-CF12EA0C7D86}"/>
    <cellStyle name="Heading 2" xfId="12" xr:uid="{E9B8D8A4-55B7-4612-8001-C9D686F18733}"/>
    <cellStyle name="Hyperlink" xfId="13" xr:uid="{8EC56140-1E43-4EB0-A247-A24C4FA22B54}"/>
    <cellStyle name="Neutral" xfId="14" xr:uid="{F6B6FD6D-5145-40E4-9AEA-9DABB81DAFB8}"/>
    <cellStyle name="Note" xfId="15" xr:uid="{F807F6EE-08EB-499A-B2EE-06B67FF15280}"/>
    <cellStyle name="Result" xfId="16" xr:uid="{E0D5C979-EC91-4DB9-93E1-F72D8B28546A}"/>
    <cellStyle name="Status" xfId="17" xr:uid="{0C1F7580-5BCD-4746-89F1-49F017BB7935}"/>
    <cellStyle name="Text" xfId="18" xr:uid="{1D7E74FA-F3D7-44C6-A826-9DF94C08CA4B}"/>
    <cellStyle name="Warning" xfId="19" xr:uid="{8EF34707-87DD-4190-856C-EF392664E090}"/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0D38-0BC6-43C8-BD91-90CCB0642CF3}">
  <dimension ref="A1:G40"/>
  <sheetViews>
    <sheetView tabSelected="1" zoomScaleNormal="100" workbookViewId="0">
      <selection activeCell="D2" sqref="D2"/>
    </sheetView>
  </sheetViews>
  <sheetFormatPr defaultRowHeight="13.15"/>
  <cols>
    <col min="1" max="1" width="18.640625" style="18" customWidth="1"/>
    <col min="2" max="2" width="12.2109375" style="18" customWidth="1"/>
    <col min="3" max="3" width="18.640625" style="18" customWidth="1"/>
    <col min="4" max="5" width="12.2109375" style="18" customWidth="1"/>
    <col min="6" max="7" width="9.140625" style="18"/>
  </cols>
  <sheetData>
    <row r="1" spans="1:7">
      <c r="A1" s="11" t="s">
        <v>36</v>
      </c>
      <c r="B1" s="11" t="s">
        <v>37</v>
      </c>
      <c r="C1" s="11" t="s">
        <v>38</v>
      </c>
      <c r="D1" s="12" t="s">
        <v>39</v>
      </c>
      <c r="E1" s="24"/>
    </row>
    <row r="2" spans="1:7">
      <c r="A2" s="3">
        <v>3.032</v>
      </c>
      <c r="B2" s="4">
        <v>1.38E-2</v>
      </c>
      <c r="C2" s="5">
        <v>230.26</v>
      </c>
      <c r="D2" s="30">
        <v>0.72219999999999995</v>
      </c>
      <c r="E2" s="24"/>
    </row>
    <row r="3" spans="1:7">
      <c r="A3" s="22"/>
      <c r="B3" s="20"/>
      <c r="C3" s="23"/>
      <c r="D3" s="20"/>
      <c r="E3" s="24"/>
    </row>
    <row r="4" spans="1:7">
      <c r="A4" s="32" t="s">
        <v>40</v>
      </c>
      <c r="B4" s="32"/>
      <c r="C4" s="32"/>
      <c r="D4" s="32"/>
      <c r="E4" s="32"/>
      <c r="F4" s="32"/>
      <c r="G4" s="32"/>
    </row>
    <row r="5" spans="1:7">
      <c r="A5" s="1" t="s">
        <v>0</v>
      </c>
      <c r="B5" s="37">
        <v>3.27</v>
      </c>
      <c r="C5" s="37"/>
      <c r="D5" s="37"/>
      <c r="E5" s="4" t="s">
        <v>52</v>
      </c>
      <c r="F5" s="33">
        <v>1.7000000000000001E-2</v>
      </c>
      <c r="G5" s="34"/>
    </row>
    <row r="6" spans="1:7">
      <c r="A6" s="11" t="s">
        <v>41</v>
      </c>
      <c r="B6" s="11" t="s">
        <v>42</v>
      </c>
      <c r="C6" s="11" t="s">
        <v>43</v>
      </c>
      <c r="D6" s="11" t="s">
        <v>44</v>
      </c>
      <c r="E6" s="11" t="s">
        <v>45</v>
      </c>
      <c r="F6" s="12" t="s">
        <v>46</v>
      </c>
      <c r="G6" s="12" t="s">
        <v>47</v>
      </c>
    </row>
    <row r="7" spans="1:7">
      <c r="A7" s="42" t="s">
        <v>1</v>
      </c>
      <c r="B7" s="40">
        <v>3.9600000000000003E-2</v>
      </c>
      <c r="C7" s="28" t="s">
        <v>60</v>
      </c>
      <c r="D7" s="7">
        <v>1.9800000000000002E-2</v>
      </c>
      <c r="E7" s="8">
        <v>771.8</v>
      </c>
      <c r="F7" s="10"/>
      <c r="G7" s="10"/>
    </row>
    <row r="8" spans="1:7">
      <c r="A8" s="42"/>
      <c r="B8" s="40"/>
      <c r="C8" s="28" t="s">
        <v>59</v>
      </c>
      <c r="D8" s="7">
        <v>1.0999999999999999E-2</v>
      </c>
      <c r="E8" s="8">
        <v>771.8</v>
      </c>
      <c r="F8" s="10"/>
      <c r="G8" s="10"/>
    </row>
    <row r="9" spans="1:7">
      <c r="A9" s="42"/>
      <c r="B9" s="40"/>
      <c r="C9" s="28" t="s">
        <v>58</v>
      </c>
      <c r="D9" s="7">
        <v>8.8000000000000005E-3</v>
      </c>
      <c r="E9" s="8">
        <v>771.8</v>
      </c>
      <c r="F9" s="10"/>
      <c r="G9" s="10"/>
    </row>
    <row r="10" spans="1:7">
      <c r="A10" s="42" t="s">
        <v>2</v>
      </c>
      <c r="B10" s="40">
        <v>1.06E-2</v>
      </c>
      <c r="C10" s="31" t="s">
        <v>3</v>
      </c>
      <c r="D10" s="7">
        <v>8.0000000000000004E-4</v>
      </c>
      <c r="E10" s="8">
        <v>4.72</v>
      </c>
      <c r="F10" s="10"/>
      <c r="G10" s="10"/>
    </row>
    <row r="11" spans="1:7">
      <c r="A11" s="42"/>
      <c r="B11" s="40"/>
      <c r="C11" s="31" t="s">
        <v>5</v>
      </c>
      <c r="D11" s="7">
        <v>9.7999999999999997E-3</v>
      </c>
      <c r="E11" s="8">
        <v>262.58999999999997</v>
      </c>
      <c r="F11" s="10"/>
      <c r="G11" s="10"/>
    </row>
    <row r="12" spans="1:7">
      <c r="A12" s="2" t="s">
        <v>6</v>
      </c>
      <c r="B12" s="4">
        <v>6.1000000000000004E-3</v>
      </c>
      <c r="C12" s="31" t="s">
        <v>7</v>
      </c>
      <c r="D12" s="7">
        <v>6.1000000000000004E-3</v>
      </c>
      <c r="E12" s="8">
        <v>1734</v>
      </c>
      <c r="F12" s="10"/>
      <c r="G12" s="10"/>
    </row>
    <row r="13" spans="1:7" ht="13.05" customHeight="1">
      <c r="A13" s="1" t="s">
        <v>8</v>
      </c>
      <c r="B13" s="4">
        <v>4.8599999999999997E-2</v>
      </c>
      <c r="C13" s="31" t="s">
        <v>9</v>
      </c>
      <c r="D13" s="7">
        <v>4.8599999999999997E-2</v>
      </c>
      <c r="E13" s="8">
        <v>1606.6</v>
      </c>
      <c r="F13" s="10"/>
      <c r="G13" s="10"/>
    </row>
    <row r="14" spans="1:7">
      <c r="A14" s="38" t="s">
        <v>10</v>
      </c>
      <c r="B14" s="40">
        <v>0.38219999999999998</v>
      </c>
      <c r="C14" s="28" t="s">
        <v>57</v>
      </c>
      <c r="D14" s="7">
        <v>0.1241</v>
      </c>
      <c r="E14" s="8">
        <v>49900</v>
      </c>
      <c r="F14" s="10"/>
      <c r="G14" s="10"/>
    </row>
    <row r="15" spans="1:7">
      <c r="A15" s="38"/>
      <c r="B15" s="40"/>
      <c r="C15" s="31" t="s">
        <v>11</v>
      </c>
      <c r="D15" s="7">
        <v>0.1757</v>
      </c>
      <c r="E15" s="8">
        <v>49900</v>
      </c>
      <c r="F15" s="10"/>
      <c r="G15" s="10"/>
    </row>
    <row r="16" spans="1:7">
      <c r="A16" s="38"/>
      <c r="B16" s="40"/>
      <c r="C16" s="31" t="s">
        <v>12</v>
      </c>
      <c r="D16" s="7">
        <v>8.2400000000000001E-2</v>
      </c>
      <c r="E16" s="8">
        <v>49900</v>
      </c>
      <c r="F16" s="10"/>
      <c r="G16" s="10"/>
    </row>
    <row r="17" spans="1:7" ht="17" customHeight="1">
      <c r="A17" s="6" t="s">
        <v>13</v>
      </c>
      <c r="B17" s="4">
        <v>2.4899999999999999E-2</v>
      </c>
      <c r="C17" s="31" t="s">
        <v>14</v>
      </c>
      <c r="D17" s="7">
        <v>2.4899999999999999E-2</v>
      </c>
      <c r="E17" s="8">
        <v>194.41</v>
      </c>
      <c r="F17" s="10"/>
      <c r="G17" s="10"/>
    </row>
    <row r="18" spans="1:7">
      <c r="A18" s="41" t="s">
        <v>15</v>
      </c>
      <c r="B18" s="40">
        <v>4.2099999999999999E-2</v>
      </c>
      <c r="C18" s="28" t="s">
        <v>54</v>
      </c>
      <c r="D18" s="7">
        <v>3.1E-2</v>
      </c>
      <c r="E18" s="8" t="s">
        <v>4</v>
      </c>
      <c r="F18" s="10"/>
      <c r="G18" s="10"/>
    </row>
    <row r="19" spans="1:7">
      <c r="A19" s="41"/>
      <c r="B19" s="40"/>
      <c r="C19" s="31" t="s">
        <v>16</v>
      </c>
      <c r="D19" s="7">
        <v>1.11E-2</v>
      </c>
      <c r="E19" s="8" t="s">
        <v>4</v>
      </c>
      <c r="F19" s="10"/>
      <c r="G19" s="10"/>
    </row>
    <row r="20" spans="1:7">
      <c r="A20" s="2" t="s">
        <v>17</v>
      </c>
      <c r="B20" s="4">
        <v>1.3899999999999999E-2</v>
      </c>
      <c r="C20" s="31" t="s">
        <v>18</v>
      </c>
      <c r="D20" s="7">
        <v>1.3899999999999999E-2</v>
      </c>
      <c r="E20" s="8">
        <v>728.3</v>
      </c>
      <c r="F20" s="10"/>
      <c r="G20" s="10"/>
    </row>
    <row r="21" spans="1:7">
      <c r="A21" s="2" t="s">
        <v>19</v>
      </c>
      <c r="B21" s="4">
        <v>4.0800000000000003E-2</v>
      </c>
      <c r="C21" s="31" t="s">
        <v>20</v>
      </c>
      <c r="D21" s="7">
        <v>4.0800000000000003E-2</v>
      </c>
      <c r="E21" s="8">
        <v>285.32</v>
      </c>
      <c r="F21" s="10"/>
      <c r="G21" s="10"/>
    </row>
    <row r="22" spans="1:7">
      <c r="A22" s="41" t="s">
        <v>21</v>
      </c>
      <c r="B22" s="40">
        <v>3.1099999999999999E-2</v>
      </c>
      <c r="C22" s="12" t="s">
        <v>62</v>
      </c>
      <c r="D22" s="7">
        <v>1.7899999999999999E-2</v>
      </c>
      <c r="E22" s="8">
        <v>732.24</v>
      </c>
      <c r="F22" s="10"/>
      <c r="G22" s="10"/>
    </row>
    <row r="23" spans="1:7">
      <c r="A23" s="41"/>
      <c r="B23" s="40"/>
      <c r="C23" s="31" t="s">
        <v>22</v>
      </c>
      <c r="D23" s="7">
        <v>1.32E-2</v>
      </c>
      <c r="E23" s="8">
        <v>5844</v>
      </c>
      <c r="F23" s="10"/>
      <c r="G23" s="10"/>
    </row>
    <row r="24" spans="1:7">
      <c r="A24" s="2" t="s">
        <v>23</v>
      </c>
      <c r="B24" s="4">
        <v>8.3000000000000001E-3</v>
      </c>
      <c r="C24" s="31" t="s">
        <v>24</v>
      </c>
      <c r="D24" s="7">
        <v>8.3000000000000001E-3</v>
      </c>
      <c r="E24" s="8">
        <v>155.53</v>
      </c>
      <c r="F24" s="10"/>
      <c r="G24" s="10"/>
    </row>
    <row r="25" spans="1:7">
      <c r="A25" s="2" t="s">
        <v>25</v>
      </c>
      <c r="B25" s="4">
        <v>4.1000000000000003E-3</v>
      </c>
      <c r="C25" s="31" t="s">
        <v>26</v>
      </c>
      <c r="D25" s="7">
        <v>4.1000000000000003E-3</v>
      </c>
      <c r="E25" s="8">
        <v>1430</v>
      </c>
      <c r="F25" s="10"/>
      <c r="G25" s="10"/>
    </row>
    <row r="26" spans="1:7">
      <c r="A26" s="1" t="s">
        <v>27</v>
      </c>
      <c r="B26" s="4">
        <v>3.2000000000000002E-3</v>
      </c>
      <c r="C26" s="31" t="s">
        <v>28</v>
      </c>
      <c r="D26" s="7">
        <v>3.2000000000000002E-3</v>
      </c>
      <c r="E26" s="8">
        <v>64.72</v>
      </c>
      <c r="F26" s="10"/>
      <c r="G26" s="10"/>
    </row>
    <row r="27" spans="1:7">
      <c r="A27" s="19"/>
      <c r="B27" s="20"/>
      <c r="C27" s="21"/>
      <c r="D27" s="16"/>
      <c r="E27" s="17"/>
    </row>
    <row r="28" spans="1:7">
      <c r="A28" s="32" t="s">
        <v>48</v>
      </c>
      <c r="B28" s="32"/>
      <c r="C28" s="32"/>
      <c r="D28" s="32"/>
      <c r="E28" s="32"/>
      <c r="F28" s="32"/>
      <c r="G28" s="32"/>
    </row>
    <row r="29" spans="1:7">
      <c r="A29" s="1" t="s">
        <v>0</v>
      </c>
      <c r="B29" s="37">
        <v>2.319</v>
      </c>
      <c r="C29" s="37"/>
      <c r="D29" s="37"/>
      <c r="E29" s="4" t="s">
        <v>52</v>
      </c>
      <c r="F29" s="35">
        <v>-3.3999999999999998E-3</v>
      </c>
      <c r="G29" s="36"/>
    </row>
    <row r="30" spans="1:7">
      <c r="A30" s="11" t="s">
        <v>41</v>
      </c>
      <c r="B30" s="11" t="s">
        <v>42</v>
      </c>
      <c r="C30" s="11" t="s">
        <v>43</v>
      </c>
      <c r="D30" s="11" t="s">
        <v>44</v>
      </c>
      <c r="E30" s="11" t="s">
        <v>45</v>
      </c>
      <c r="F30" s="12" t="s">
        <v>46</v>
      </c>
      <c r="G30" s="12" t="s">
        <v>47</v>
      </c>
    </row>
    <row r="31" spans="1:7">
      <c r="A31" s="6" t="s">
        <v>29</v>
      </c>
      <c r="B31" s="7">
        <v>1.2999999999999999E-2</v>
      </c>
      <c r="C31" s="29" t="s">
        <v>55</v>
      </c>
      <c r="D31" s="7">
        <v>1.2999999999999999E-2</v>
      </c>
      <c r="E31" s="8">
        <v>9.41</v>
      </c>
      <c r="F31" s="10"/>
      <c r="G31" s="10"/>
    </row>
    <row r="32" spans="1:7">
      <c r="A32" s="6" t="s">
        <v>30</v>
      </c>
      <c r="B32" s="7">
        <v>6.3E-3</v>
      </c>
      <c r="C32" s="26" t="s">
        <v>31</v>
      </c>
      <c r="D32" s="7">
        <v>6.3E-3</v>
      </c>
      <c r="E32" s="8">
        <v>104.51</v>
      </c>
      <c r="F32" s="10"/>
      <c r="G32" s="10"/>
    </row>
    <row r="33" spans="1:7">
      <c r="A33" s="38" t="s">
        <v>32</v>
      </c>
      <c r="B33" s="39">
        <v>1.4800000000000001E-2</v>
      </c>
      <c r="C33" s="27" t="s">
        <v>56</v>
      </c>
      <c r="D33" s="7">
        <v>7.1999999999999998E-3</v>
      </c>
      <c r="E33" s="8" t="s">
        <v>4</v>
      </c>
      <c r="F33" s="10"/>
      <c r="G33" s="10"/>
    </row>
    <row r="34" spans="1:7">
      <c r="A34" s="38"/>
      <c r="B34" s="39"/>
      <c r="C34" s="27" t="s">
        <v>53</v>
      </c>
      <c r="D34" s="7">
        <v>7.6E-3</v>
      </c>
      <c r="E34" s="8" t="s">
        <v>4</v>
      </c>
      <c r="F34" s="10"/>
      <c r="G34" s="10"/>
    </row>
    <row r="35" spans="1:7">
      <c r="A35" s="38" t="s">
        <v>33</v>
      </c>
      <c r="B35" s="39">
        <v>3.2599999999999997E-2</v>
      </c>
      <c r="C35" s="29" t="s">
        <v>61</v>
      </c>
      <c r="D35" s="7">
        <v>5.9999999999999995E-4</v>
      </c>
      <c r="E35" s="8">
        <v>1949.83</v>
      </c>
      <c r="F35" s="10"/>
      <c r="G35" s="10"/>
    </row>
    <row r="36" spans="1:7">
      <c r="A36" s="38"/>
      <c r="B36" s="39"/>
      <c r="C36" s="26" t="s">
        <v>34</v>
      </c>
      <c r="D36" s="7">
        <v>3.2000000000000001E-2</v>
      </c>
      <c r="E36" s="8">
        <v>387.25</v>
      </c>
      <c r="F36" s="10"/>
      <c r="G36" s="10"/>
    </row>
    <row r="37" spans="1:7">
      <c r="A37" s="13"/>
      <c r="B37" s="14"/>
      <c r="C37" s="15"/>
      <c r="D37" s="16"/>
      <c r="E37" s="17"/>
    </row>
    <row r="38" spans="1:7">
      <c r="A38" s="32" t="s">
        <v>49</v>
      </c>
      <c r="B38" s="32"/>
      <c r="C38" s="32"/>
      <c r="D38" s="25"/>
      <c r="E38" s="25"/>
    </row>
    <row r="39" spans="1:7">
      <c r="A39" s="11" t="s">
        <v>50</v>
      </c>
      <c r="B39" s="11" t="s">
        <v>51</v>
      </c>
      <c r="C39" s="11" t="s">
        <v>45</v>
      </c>
      <c r="D39" s="24"/>
      <c r="E39" s="24"/>
    </row>
    <row r="40" spans="1:7">
      <c r="A40" s="1" t="s">
        <v>35</v>
      </c>
      <c r="B40" s="1">
        <v>154004.837</v>
      </c>
      <c r="C40" s="9">
        <f>A2*B40</f>
        <v>466942.66578400001</v>
      </c>
      <c r="D40" s="24"/>
      <c r="E40" s="24"/>
    </row>
  </sheetData>
  <mergeCells count="21">
    <mergeCell ref="B5:D5"/>
    <mergeCell ref="A7:A9"/>
    <mergeCell ref="B7:B9"/>
    <mergeCell ref="A10:A11"/>
    <mergeCell ref="B10:B11"/>
    <mergeCell ref="A4:G4"/>
    <mergeCell ref="A28:G28"/>
    <mergeCell ref="A38:C38"/>
    <mergeCell ref="F5:G5"/>
    <mergeCell ref="F29:G29"/>
    <mergeCell ref="B29:D29"/>
    <mergeCell ref="A33:A34"/>
    <mergeCell ref="B33:B34"/>
    <mergeCell ref="A35:A36"/>
    <mergeCell ref="B35:B36"/>
    <mergeCell ref="A14:A16"/>
    <mergeCell ref="B14:B16"/>
    <mergeCell ref="A18:A19"/>
    <mergeCell ref="B18:B19"/>
    <mergeCell ref="A22:A23"/>
    <mergeCell ref="B22:B23"/>
  </mergeCells>
  <phoneticPr fontId="16" type="noConversion"/>
  <pageMargins left="0" right="0" top="0.39370000000000011" bottom="0.39370000000000011" header="0" footer="0"/>
  <pageSetup paperSize="9" orientation="portrait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11198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学男 董</cp:lastModifiedBy>
  <cp:revision>805</cp:revision>
  <dcterms:created xsi:type="dcterms:W3CDTF">2017-06-23T23:02:58Z</dcterms:created>
  <dcterms:modified xsi:type="dcterms:W3CDTF">2026-03-14T08:05:18Z</dcterms:modified>
</cp:coreProperties>
</file>