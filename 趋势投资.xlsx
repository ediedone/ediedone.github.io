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.ubuntu_ws\ediedone.github.io\"/>
    </mc:Choice>
  </mc:AlternateContent>
  <xr:revisionPtr revIDLastSave="0" documentId="13_ncr:1_{1A8CD000-9570-43C1-8912-0B2CEBB622D0}" xr6:coauthVersionLast="47" xr6:coauthVersionMax="47" xr10:uidLastSave="{00000000-0000-0000-0000-000000000000}"/>
  <bookViews>
    <workbookView xWindow="-98" yWindow="-98" windowWidth="28996" windowHeight="15675" xr2:uid="{AED13B3B-36B7-4FA7-B5AB-20EFD3D048A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C36" i="1"/>
  <c r="H32" i="1"/>
  <c r="I32" i="1" s="1"/>
  <c r="G32" i="1"/>
  <c r="H31" i="1"/>
  <c r="I31" i="1" s="1"/>
  <c r="G31" i="1"/>
  <c r="H30" i="1"/>
  <c r="I30" i="1" s="1"/>
  <c r="G30" i="1"/>
  <c r="H29" i="1"/>
  <c r="I29" i="1" s="1"/>
  <c r="G29" i="1"/>
  <c r="H28" i="1"/>
  <c r="I28" i="1" s="1"/>
  <c r="G28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H7" i="1"/>
  <c r="I7" i="1" s="1"/>
  <c r="G7" i="1"/>
</calcChain>
</file>

<file path=xl/sharedStrings.xml><?xml version="1.0" encoding="utf-8"?>
<sst xmlns="http://schemas.openxmlformats.org/spreadsheetml/2006/main" count="72" uniqueCount="59">
  <si>
    <t>净值</t>
  </si>
  <si>
    <t>周涨幅</t>
  </si>
  <si>
    <t>食品饮料</t>
  </si>
  <si>
    <t>洋河股份F</t>
  </si>
  <si>
    <t>洋河股份L</t>
  </si>
  <si>
    <t>洋河股份D</t>
  </si>
  <si>
    <t>房地产</t>
  </si>
  <si>
    <t>绿城中国</t>
  </si>
  <si>
    <t>银行</t>
  </si>
  <si>
    <t>民生银行</t>
  </si>
  <si>
    <t>软件服务</t>
  </si>
  <si>
    <t>腾讯控股L</t>
  </si>
  <si>
    <t>腾讯控股D</t>
  </si>
  <si>
    <t>ETF</t>
  </si>
  <si>
    <t>恒生ETF</t>
  </si>
  <si>
    <t>恒指科技ETF</t>
  </si>
  <si>
    <t>交通运输</t>
  </si>
  <si>
    <t xml:space="preserve"> 上海机场</t>
  </si>
  <si>
    <t>公用事业</t>
  </si>
  <si>
    <t>家用电器</t>
  </si>
  <si>
    <t>思摩尔国际</t>
  </si>
  <si>
    <t>美的集团</t>
  </si>
  <si>
    <t>旅游及消闲设施</t>
  </si>
  <si>
    <t>澳博控股</t>
  </si>
  <si>
    <t>电力设备</t>
  </si>
  <si>
    <t>降基绿能</t>
  </si>
  <si>
    <t>港股抄作业</t>
  </si>
  <si>
    <t>福寿园</t>
  </si>
  <si>
    <t xml:space="preserve"> 计算机及网络</t>
  </si>
  <si>
    <t>挚文集团</t>
  </si>
  <si>
    <t xml:space="preserve"> 通讯业务</t>
  </si>
  <si>
    <t>哔哩哔哩</t>
  </si>
  <si>
    <t>食物饮品</t>
  </si>
  <si>
    <t>海天味业</t>
  </si>
  <si>
    <t>flx</t>
  </si>
  <si>
    <t>总净值</t>
  </si>
  <si>
    <t>总收益</t>
  </si>
  <si>
    <t>仓位</t>
  </si>
  <si>
    <t>行业</t>
  </si>
  <si>
    <t>行业占比</t>
  </si>
  <si>
    <t>公司</t>
  </si>
  <si>
    <t>公司占比</t>
  </si>
  <si>
    <t>成本价</t>
  </si>
  <si>
    <t>当前价</t>
  </si>
  <si>
    <t>市值</t>
  </si>
  <si>
    <t>总涨幅</t>
  </si>
  <si>
    <t>下一阶梯</t>
  </si>
  <si>
    <t>浮动止损价</t>
  </si>
  <si>
    <t>止损价</t>
  </si>
  <si>
    <t>姓名</t>
  </si>
  <si>
    <t>份额</t>
  </si>
  <si>
    <t>人民币</t>
  </si>
  <si>
    <t>美元</t>
  </si>
  <si>
    <t>客户</t>
  </si>
  <si>
    <t>古井贡B</t>
    <phoneticPr fontId="18" type="noConversion"/>
  </si>
  <si>
    <t>中概互联ETF</t>
    <phoneticPr fontId="18" type="noConversion"/>
  </si>
  <si>
    <t>北控水务集团</t>
    <phoneticPr fontId="18" type="noConversion"/>
  </si>
  <si>
    <t>路劲</t>
    <phoneticPr fontId="18" type="noConversion"/>
  </si>
  <si>
    <t>ETF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</si>
</sst>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000000"/>
      <name val="等线"/>
      <family val="2"/>
      <charset val="134"/>
      <scheme val="minor"/>
    </font>
    <font>
      <sz val="11"/>
      <color rgb="FFFFFFFF"/>
      <name val="等线"/>
      <family val="2"/>
      <charset val="134"/>
      <scheme val="minor"/>
    </font>
    <font>
      <sz val="11"/>
      <color rgb="FFCC0000"/>
      <name val="等线"/>
      <family val="2"/>
      <charset val="134"/>
      <scheme val="minor"/>
    </font>
    <font>
      <sz val="11"/>
      <color rgb="FF006600"/>
      <name val="等线"/>
      <family val="1"/>
      <charset val="134"/>
      <scheme val="minor"/>
    </font>
    <font>
      <sz val="11"/>
      <color rgb="FFCC0000"/>
      <name val="等线"/>
      <family val="1"/>
      <charset val="134"/>
      <scheme val="minor"/>
    </font>
    <font>
      <sz val="10"/>
      <color rgb="FF000000"/>
      <name val="Liberation Sans"/>
      <family val="1"/>
    </font>
    <font>
      <b/>
      <sz val="11"/>
      <color rgb="FFFFFFFF"/>
      <name val="等线"/>
      <family val="2"/>
      <charset val="134"/>
      <scheme val="minor"/>
    </font>
    <font>
      <i/>
      <sz val="11"/>
      <color rgb="FF808080"/>
      <name val="等线"/>
      <family val="2"/>
      <charset val="134"/>
      <scheme val="minor"/>
    </font>
    <font>
      <sz val="11"/>
      <color rgb="FF006600"/>
      <name val="等线"/>
      <family val="2"/>
      <charset val="134"/>
      <scheme val="minor"/>
    </font>
    <font>
      <b/>
      <sz val="24"/>
      <color rgb="FF000000"/>
      <name val="等线"/>
      <family val="2"/>
      <charset val="134"/>
      <scheme val="minor"/>
    </font>
    <font>
      <sz val="18"/>
      <color rgb="FF000000"/>
      <name val="等线"/>
      <family val="2"/>
      <charset val="134"/>
      <scheme val="minor"/>
    </font>
    <font>
      <sz val="12"/>
      <color rgb="FF000000"/>
      <name val="等线"/>
      <family val="2"/>
      <charset val="134"/>
      <scheme val="minor"/>
    </font>
    <font>
      <u/>
      <sz val="11"/>
      <color rgb="FF0000EE"/>
      <name val="等线"/>
      <family val="2"/>
      <charset val="134"/>
      <scheme val="minor"/>
    </font>
    <font>
      <sz val="11"/>
      <color rgb="FF996600"/>
      <name val="等线"/>
      <family val="2"/>
      <charset val="134"/>
      <scheme val="minor"/>
    </font>
    <font>
      <sz val="11"/>
      <color rgb="FF333333"/>
      <name val="等线"/>
      <family val="2"/>
      <charset val="134"/>
      <scheme val="minor"/>
    </font>
    <font>
      <b/>
      <i/>
      <u/>
      <sz val="11"/>
      <color rgb="FF00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Liberation Sans"/>
    </font>
    <font>
      <sz val="11"/>
      <color theme="1"/>
      <name val="等线"/>
      <family val="1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0000"/>
        <bgColor rgb="FFCC0000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8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176" fontId="19" fillId="0" borderId="2" xfId="8" applyNumberFormat="1" applyFont="1" applyBorder="1" applyAlignment="1">
      <alignment horizontal="center" vertical="center"/>
    </xf>
    <xf numFmtId="10" fontId="0" fillId="0" borderId="2" xfId="8" applyNumberFormat="1" applyFont="1" applyBorder="1" applyAlignment="1">
      <alignment horizontal="center" vertical="center"/>
    </xf>
    <xf numFmtId="2" fontId="0" fillId="0" borderId="2" xfId="8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19" fillId="0" borderId="0" xfId="8" applyNumberFormat="1" applyFont="1" applyBorder="1" applyAlignment="1">
      <alignment horizontal="center" vertical="center"/>
    </xf>
    <xf numFmtId="10" fontId="0" fillId="0" borderId="0" xfId="8" applyNumberFormat="1" applyFont="1" applyBorder="1" applyAlignment="1">
      <alignment horizontal="center" vertical="center"/>
    </xf>
    <xf numFmtId="2" fontId="0" fillId="0" borderId="0" xfId="8" applyNumberFormat="1" applyFont="1" applyBorder="1" applyAlignment="1">
      <alignment horizontal="center" vertical="center"/>
    </xf>
    <xf numFmtId="10" fontId="0" fillId="0" borderId="0" xfId="0" applyNumberFormat="1" applyFill="1" applyBorder="1">
      <alignment vertical="center"/>
    </xf>
    <xf numFmtId="176" fontId="0" fillId="0" borderId="0" xfId="0" applyNumberFormat="1" applyBorder="1">
      <alignment vertical="center"/>
    </xf>
    <xf numFmtId="1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0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10" fontId="0" fillId="0" borderId="2" xfId="0" applyNumberFormat="1" applyBorder="1">
      <alignment vertical="center"/>
    </xf>
    <xf numFmtId="10" fontId="0" fillId="0" borderId="2" xfId="0" applyNumberFormat="1" applyFill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0" fontId="0" fillId="0" borderId="2" xfId="0" applyNumberFormat="1" applyFill="1" applyBorder="1" applyAlignment="1">
      <alignment horizontal="right" vertical="center"/>
    </xf>
    <xf numFmtId="10" fontId="0" fillId="0" borderId="0" xfId="0" applyNumberFormat="1" applyFill="1" applyBorder="1" applyAlignment="1">
      <alignment horizontal="right" vertical="center"/>
    </xf>
    <xf numFmtId="176" fontId="20" fillId="0" borderId="2" xfId="0" applyNumberFormat="1" applyFont="1" applyBorder="1">
      <alignment vertical="center"/>
    </xf>
    <xf numFmtId="0" fontId="0" fillId="0" borderId="2" xfId="0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10" fontId="0" fillId="0" borderId="2" xfId="0" applyNumberFormat="1" applyFill="1" applyBorder="1" applyAlignment="1">
      <alignment horizontal="left" vertical="center"/>
    </xf>
    <xf numFmtId="10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right" vertical="center"/>
    </xf>
  </cellXfs>
  <cellStyles count="22">
    <cellStyle name="Accent" xfId="1" xr:uid="{5A0A2F78-4E20-4421-94CD-2D6FA48740CE}"/>
    <cellStyle name="Accent 1" xfId="2" xr:uid="{9B768E6A-606A-4D32-9223-5FA2C7F8960B}"/>
    <cellStyle name="Accent 2" xfId="3" xr:uid="{6EA168C8-FFC3-4E9A-845A-1D6E254AFEB7}"/>
    <cellStyle name="Accent 3" xfId="4" xr:uid="{FF333692-B7D1-4EF3-B76A-F6BC392739FE}"/>
    <cellStyle name="Bad" xfId="5" xr:uid="{7A81F004-CA31-4618-A503-DE2E5EB26ACE}"/>
    <cellStyle name="cf1" xfId="6" xr:uid="{B5C6F68E-0F51-4590-BEA4-7B1FC01CE686}"/>
    <cellStyle name="cf2" xfId="7" xr:uid="{EEFB8B20-9A3E-474D-878C-8335596E3315}"/>
    <cellStyle name="Default" xfId="8" xr:uid="{FFBCA8EB-B2B4-4420-BFD1-F344F9B4A69E}"/>
    <cellStyle name="Error" xfId="9" xr:uid="{2D979754-1B23-4911-9764-642DEBDBACC4}"/>
    <cellStyle name="Footnote" xfId="10" xr:uid="{E32AFB7F-66F7-4D90-84DC-3071491539A8}"/>
    <cellStyle name="Good" xfId="11" xr:uid="{79C5B1FF-6D9D-4E90-94F7-8C956FD8721A}"/>
    <cellStyle name="Heading" xfId="12" xr:uid="{CE2F53D9-851B-4CD6-8D11-4AC154775B28}"/>
    <cellStyle name="Heading 1" xfId="13" xr:uid="{7518B1E9-E438-498E-8E9E-A68CA22EFDA5}"/>
    <cellStyle name="Heading 2" xfId="14" xr:uid="{0ECABB95-B3DC-4DCA-A449-DFFF110B6629}"/>
    <cellStyle name="Hyperlink" xfId="15" xr:uid="{1EE0BA97-A736-4CF2-B5F7-EB8AEC7F740C}"/>
    <cellStyle name="Neutral" xfId="16" xr:uid="{6AC24EAF-B408-4A81-A886-322AF3A328E3}"/>
    <cellStyle name="Note" xfId="17" xr:uid="{A8B42B1E-D667-48B2-BBAF-8A714EF00325}"/>
    <cellStyle name="Result" xfId="18" xr:uid="{EEBC6B2E-7B6E-4CFF-9218-C39211E7AF4C}"/>
    <cellStyle name="Status" xfId="19" xr:uid="{29DCA4A0-8E13-49BF-B9E2-A1F7A1E8435A}"/>
    <cellStyle name="Text" xfId="20" xr:uid="{89693812-C2ED-4DFF-89FE-8ED3C9F30785}"/>
    <cellStyle name="Warning" xfId="21" xr:uid="{34E4EB9D-9B64-4F2F-AEC6-A63C04BE73F2}"/>
    <cellStyle name="常规" xfId="0" builtinId="0" customBuiltin="1"/>
  </cellStyles>
  <dxfs count="8">
    <dxf>
      <font>
        <color rgb="FFCC0000"/>
        <family val="1"/>
        <charset val="134"/>
      </font>
      <fill>
        <patternFill patternType="solid">
          <fgColor rgb="FFFFCCCC"/>
          <bgColor rgb="FFFFCC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CC0000"/>
        <family val="1"/>
        <charset val="134"/>
      </font>
      <fill>
        <patternFill patternType="solid">
          <fgColor rgb="FFFFCCCC"/>
          <bgColor rgb="FFFFCC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  <dxf>
      <font>
        <color rgb="FFCC0000"/>
        <family val="1"/>
        <charset val="134"/>
      </font>
      <fill>
        <patternFill patternType="solid">
          <fgColor rgb="FFFFCCCC"/>
          <bgColor rgb="FFFFCCCC"/>
        </patternFill>
      </fill>
    </dxf>
    <dxf>
      <font>
        <color rgb="FF006600"/>
        <family val="1"/>
        <charset val="134"/>
      </font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0F4F-0A39-42ED-82E1-F32DA41D3C99}">
  <dimension ref="A1:J36"/>
  <sheetViews>
    <sheetView tabSelected="1" workbookViewId="0">
      <selection activeCell="O24" sqref="O24"/>
    </sheetView>
  </sheetViews>
  <sheetFormatPr defaultColWidth="8.53125" defaultRowHeight="13.9"/>
  <cols>
    <col min="1" max="1" width="17.3984375" style="4" customWidth="1"/>
    <col min="2" max="2" width="11.3984375" style="4" customWidth="1"/>
    <col min="3" max="3" width="17.3984375" style="4" customWidth="1"/>
    <col min="4" max="8" width="11.3984375" style="4" customWidth="1"/>
    <col min="9" max="9" width="13.3984375" style="4" customWidth="1"/>
    <col min="10" max="10" width="11.3984375" style="4" customWidth="1"/>
    <col min="11" max="11" width="8.53125" customWidth="1"/>
  </cols>
  <sheetData>
    <row r="1" spans="1:10">
      <c r="A1" s="16" t="s">
        <v>35</v>
      </c>
      <c r="B1" s="16" t="s">
        <v>1</v>
      </c>
      <c r="C1" s="16" t="s">
        <v>36</v>
      </c>
      <c r="D1" s="5" t="s">
        <v>37</v>
      </c>
    </row>
    <row r="2" spans="1:10">
      <c r="A2" s="1">
        <v>2.548</v>
      </c>
      <c r="B2" s="2">
        <v>-3.4099999999999998E-2</v>
      </c>
      <c r="C2" s="3">
        <v>156.02000000000001</v>
      </c>
      <c r="D2" s="28">
        <v>0.50600000000000001</v>
      </c>
    </row>
    <row r="3" spans="1:10">
      <c r="A3" s="9"/>
      <c r="B3" s="10"/>
      <c r="C3" s="11"/>
    </row>
    <row r="4" spans="1:10">
      <c r="A4" s="29" t="s">
        <v>51</v>
      </c>
      <c r="B4" s="29"/>
      <c r="C4" s="29"/>
      <c r="D4" s="29"/>
      <c r="E4" s="29"/>
      <c r="F4" s="29"/>
      <c r="G4" s="29"/>
      <c r="H4" s="29"/>
      <c r="I4" s="29"/>
      <c r="J4" s="29"/>
    </row>
    <row r="5" spans="1:10">
      <c r="A5" s="16" t="s">
        <v>0</v>
      </c>
      <c r="B5" s="30">
        <v>2.673</v>
      </c>
      <c r="C5" s="30"/>
      <c r="D5" s="30"/>
      <c r="E5" s="30"/>
      <c r="F5" s="30"/>
      <c r="G5" s="16" t="s">
        <v>1</v>
      </c>
      <c r="H5" s="31">
        <v>-4.2099999999999999E-2</v>
      </c>
      <c r="I5" s="31"/>
      <c r="J5" s="31"/>
    </row>
    <row r="6" spans="1:10">
      <c r="A6" s="16" t="s">
        <v>38</v>
      </c>
      <c r="B6" s="16" t="s">
        <v>39</v>
      </c>
      <c r="C6" s="16" t="s">
        <v>40</v>
      </c>
      <c r="D6" s="16" t="s">
        <v>41</v>
      </c>
      <c r="E6" s="16" t="s">
        <v>42</v>
      </c>
      <c r="F6" s="16" t="s">
        <v>43</v>
      </c>
      <c r="G6" s="16" t="s">
        <v>45</v>
      </c>
      <c r="H6" s="18" t="s">
        <v>46</v>
      </c>
      <c r="I6" s="18" t="s">
        <v>47</v>
      </c>
      <c r="J6" s="16" t="s">
        <v>48</v>
      </c>
    </row>
    <row r="7" spans="1:10">
      <c r="A7" s="29" t="s">
        <v>2</v>
      </c>
      <c r="B7" s="32">
        <v>3.61E-2</v>
      </c>
      <c r="C7" s="27" t="s">
        <v>3</v>
      </c>
      <c r="D7" s="19">
        <v>1.8100000000000002E-2</v>
      </c>
      <c r="E7" s="20">
        <v>84.490300000000005</v>
      </c>
      <c r="F7" s="18">
        <v>39.22</v>
      </c>
      <c r="G7" s="21">
        <f t="shared" ref="G7:G23" si="0">IF(E7&gt;0,F7/E7-1.0014,(F7-E7))</f>
        <v>-0.53720470184151325</v>
      </c>
      <c r="H7" s="20">
        <f>IF(E7&gt;0, IF(E7*1.25 &gt; F7,E7*1.25, IF(E7*1.25^2 &gt; F7,E7*1.25^2, IF(E7*1.25^3 &gt; F7,E7*1.25^3, IF(E7*1.25^4 &gt; F7,E7*1.25^4, IF(E7*1.25^5 &gt; F7,E7*1.25^5, IF(E7*1.25^6 &gt; F7,E7*1.25^6, IF(E7*1.25^7 &gt; F7, E7*1.25^7, IF(E7*1.25^8 &gt; F7, E7*1.25^8, IF(E7*1.25^9 &gt; F7, E7*1.25^9, E7*1.25^10))))))))),IF(1.25 &gt; F7-E7,1.25, IF(1.25^2 &gt; F7-E7,1.25^2, IF(1.25^3 &gt; F7-E7,1.25^3, IF(1.25^4 &gt; F7-E7,1.25^4, IF(1.25^5 &gt; F7-E7,1.25^5, IF(1.25^6 &gt; F7-E7,1.25^6, IF(1.25^7 &gt; F7-E7, 1.25^7, IF(1.25^8 &gt; F7-E7, 1.25^8, IF(1.25^9 &gt; F7-E7, 1.25^9, IF(1.25^10 &gt; F7-E7, 1.25^10, IF(1.25^11 &gt; F7-E7, 1.25^11, IF(1.25^12 &gt; F7-E7, 1.25^12, IF(1.25^13 &gt; F7-E7, 1.25^13, IF(1.25^14 &gt; F7-E7, 1.25^14, IF(1.25^15 &gt; F7-E7, 1.25^15, IF(1.25^16 &gt; F7-E7, 1.25^16, IF(1.25^17 &gt; F7-E7, 1.25^17, IF(1.25^18 &gt; F7-E7, 1.25^18, IF(1.25^19 &gt; F7-E7, 1.25^19, 1.25^20))))))))))))))))))))</f>
        <v>105.612875</v>
      </c>
      <c r="I7" s="20">
        <f>H7/1.25*0.92</f>
        <v>77.731076000000002</v>
      </c>
      <c r="J7" s="20">
        <v>0</v>
      </c>
    </row>
    <row r="8" spans="1:10">
      <c r="A8" s="29"/>
      <c r="B8" s="32"/>
      <c r="C8" s="27" t="s">
        <v>4</v>
      </c>
      <c r="D8" s="19">
        <v>0.01</v>
      </c>
      <c r="E8" s="20">
        <v>80.194000000000003</v>
      </c>
      <c r="F8" s="18">
        <v>39.22</v>
      </c>
      <c r="G8" s="21">
        <f t="shared" si="0"/>
        <v>-0.51233598024789895</v>
      </c>
      <c r="H8" s="20">
        <f t="shared" ref="H8:H23" si="1">IF(E8&gt;0, IF(E8*1.25 &gt; F8,E8*1.25, IF(E8*1.25^2 &gt; F8,E8*1.25^2, IF(E8*1.25^3 &gt; F8,E8*1.25^3, IF(E8*1.25^4 &gt; F8,E8*1.25^4, IF(E8*1.25^5 &gt; F8,E8*1.25^5, IF(E8*1.25^6 &gt; F8,E8*1.25^6, IF(E8*1.25^7 &gt; F8, E8*1.25^7, IF(E8*1.25^8 &gt; F8, E8*1.25^8, IF(E8*1.25^9 &gt; F8, E8*1.25^9, E8*1.25^10))))))))),IF(1.25 &gt; F8-E8,1.25, IF(1.25^2 &gt; F8-E8,1.25^2, IF(1.25^3 &gt; F8-E8,1.25^3, IF(1.25^4 &gt; F8-E8,1.25^4, IF(1.25^5 &gt; F8-E8,1.25^5, IF(1.25^6 &gt; F8-E8,1.25^6, IF(1.25^7 &gt; F8-E8, 1.25^7, IF(1.25^8 &gt; F8-E8, 1.25^8, IF(1.25^9 &gt; F8-E8, 1.25^9, IF(1.25^10 &gt; F8-E8, 1.25^10, IF(1.25^11 &gt; F8-E8, 1.25^11, IF(1.25^12 &gt; F8-E8, 1.25^12, IF(1.25^13 &gt; F8-E8, 1.25^13, IF(1.25^14 &gt; F8-E8, 1.25^14, IF(1.25^15 &gt; F8-E8, 1.25^15, IF(1.25^16 &gt; F8-E8, 1.25^16, IF(1.25^17 &gt; F8-E8, 1.25^17, IF(1.25^18 &gt; F8-E8, 1.25^18, IF(1.25^19 &gt; F8-E8, 1.25^19, 1.25^20))))))))))))))))))))</f>
        <v>100.24250000000001</v>
      </c>
      <c r="I8" s="20">
        <f t="shared" ref="I8:I23" si="2">H8/1.25*0.92</f>
        <v>73.778480000000002</v>
      </c>
      <c r="J8" s="20">
        <v>0</v>
      </c>
    </row>
    <row r="9" spans="1:10">
      <c r="A9" s="29"/>
      <c r="B9" s="32"/>
      <c r="C9" s="27" t="s">
        <v>5</v>
      </c>
      <c r="D9" s="19">
        <v>8.0000000000000002E-3</v>
      </c>
      <c r="E9" s="20">
        <v>152.2038</v>
      </c>
      <c r="F9" s="18">
        <v>39.22</v>
      </c>
      <c r="G9" s="21">
        <f t="shared" si="0"/>
        <v>-0.74371917994163095</v>
      </c>
      <c r="H9" s="20">
        <f t="shared" si="1"/>
        <v>190.25475</v>
      </c>
      <c r="I9" s="20">
        <f t="shared" si="2"/>
        <v>140.02749600000001</v>
      </c>
      <c r="J9" s="20">
        <v>0</v>
      </c>
    </row>
    <row r="10" spans="1:10">
      <c r="A10" s="29" t="s">
        <v>6</v>
      </c>
      <c r="B10" s="32">
        <v>7.9000000000000008E-3</v>
      </c>
      <c r="C10" s="27" t="s">
        <v>57</v>
      </c>
      <c r="D10" s="19">
        <v>8.0000000000000004E-4</v>
      </c>
      <c r="E10" s="20">
        <v>8.8960000000000008</v>
      </c>
      <c r="F10" s="18">
        <v>0.54</v>
      </c>
      <c r="G10" s="21">
        <f t="shared" si="0"/>
        <v>-0.94069856115107919</v>
      </c>
      <c r="H10" s="20">
        <f t="shared" si="1"/>
        <v>11.120000000000001</v>
      </c>
      <c r="I10" s="20">
        <f t="shared" si="2"/>
        <v>8.1843200000000014</v>
      </c>
      <c r="J10" s="20">
        <v>0</v>
      </c>
    </row>
    <row r="11" spans="1:10">
      <c r="A11" s="29"/>
      <c r="B11" s="32"/>
      <c r="C11" s="27" t="s">
        <v>7</v>
      </c>
      <c r="D11" s="19">
        <v>7.1000000000000004E-3</v>
      </c>
      <c r="E11" s="20">
        <v>9.5820000000000007</v>
      </c>
      <c r="F11" s="18">
        <v>6.41</v>
      </c>
      <c r="G11" s="21">
        <f t="shared" si="0"/>
        <v>-0.33243736171989158</v>
      </c>
      <c r="H11" s="20">
        <f t="shared" si="1"/>
        <v>11.977500000000001</v>
      </c>
      <c r="I11" s="20">
        <f t="shared" si="2"/>
        <v>8.8154400000000006</v>
      </c>
      <c r="J11" s="20">
        <v>8.8149999999999995</v>
      </c>
    </row>
    <row r="12" spans="1:10">
      <c r="A12" s="5" t="s">
        <v>8</v>
      </c>
      <c r="B12" s="22">
        <v>6.1000000000000004E-3</v>
      </c>
      <c r="C12" s="27" t="s">
        <v>9</v>
      </c>
      <c r="D12" s="19">
        <v>6.1000000000000004E-3</v>
      </c>
      <c r="E12" s="20">
        <v>5.1760000000000002</v>
      </c>
      <c r="F12" s="18">
        <v>3.29</v>
      </c>
      <c r="G12" s="21">
        <f t="shared" si="0"/>
        <v>-0.36577403400309128</v>
      </c>
      <c r="H12" s="20">
        <f t="shared" si="1"/>
        <v>6.4700000000000006</v>
      </c>
      <c r="I12" s="20">
        <f t="shared" si="2"/>
        <v>4.7619199999999999</v>
      </c>
      <c r="J12" s="20">
        <v>0</v>
      </c>
    </row>
    <row r="13" spans="1:10">
      <c r="A13" s="29" t="s">
        <v>10</v>
      </c>
      <c r="B13" s="32">
        <v>0.26529999999999998</v>
      </c>
      <c r="C13" s="27" t="s">
        <v>11</v>
      </c>
      <c r="D13" s="19">
        <v>0.10979999999999999</v>
      </c>
      <c r="E13" s="20">
        <v>370</v>
      </c>
      <c r="F13" s="18">
        <v>411.8</v>
      </c>
      <c r="G13" s="21">
        <f t="shared" si="0"/>
        <v>0.11157297297297286</v>
      </c>
      <c r="H13" s="20">
        <f t="shared" si="1"/>
        <v>462.5</v>
      </c>
      <c r="I13" s="20">
        <f t="shared" si="2"/>
        <v>340.40000000000003</v>
      </c>
      <c r="J13" s="20">
        <v>0</v>
      </c>
    </row>
    <row r="14" spans="1:10">
      <c r="A14" s="29"/>
      <c r="B14" s="32"/>
      <c r="C14" s="27" t="s">
        <v>12</v>
      </c>
      <c r="D14" s="19">
        <v>0.1555</v>
      </c>
      <c r="E14" s="20">
        <v>330</v>
      </c>
      <c r="F14" s="18">
        <v>411.8</v>
      </c>
      <c r="G14" s="21">
        <f t="shared" si="0"/>
        <v>0.24647878787878774</v>
      </c>
      <c r="H14" s="20">
        <f t="shared" si="1"/>
        <v>412.5</v>
      </c>
      <c r="I14" s="20">
        <f t="shared" si="2"/>
        <v>303.60000000000002</v>
      </c>
      <c r="J14" s="20">
        <v>379.5</v>
      </c>
    </row>
    <row r="15" spans="1:10">
      <c r="A15" s="29" t="s">
        <v>13</v>
      </c>
      <c r="B15" s="32">
        <v>4.3700000000000003E-2</v>
      </c>
      <c r="C15" s="27" t="s">
        <v>14</v>
      </c>
      <c r="D15" s="19">
        <v>3.2599999999999997E-2</v>
      </c>
      <c r="E15" s="20">
        <v>1.3997999999999999</v>
      </c>
      <c r="F15" s="18">
        <v>1.34</v>
      </c>
      <c r="G15" s="21">
        <f t="shared" si="0"/>
        <v>-4.4120388626946672E-2</v>
      </c>
      <c r="H15" s="20">
        <f t="shared" si="1"/>
        <v>1.7497499999999999</v>
      </c>
      <c r="I15" s="20">
        <f t="shared" si="2"/>
        <v>1.2878160000000001</v>
      </c>
      <c r="J15" s="20">
        <v>0</v>
      </c>
    </row>
    <row r="16" spans="1:10">
      <c r="A16" s="29"/>
      <c r="B16" s="32"/>
      <c r="C16" s="27" t="s">
        <v>15</v>
      </c>
      <c r="D16" s="19">
        <v>1.11E-2</v>
      </c>
      <c r="E16" s="20">
        <v>0.6</v>
      </c>
      <c r="F16" s="18">
        <v>0.54200000000000004</v>
      </c>
      <c r="G16" s="21">
        <f t="shared" si="0"/>
        <v>-9.8066666666666635E-2</v>
      </c>
      <c r="H16" s="20">
        <f t="shared" si="1"/>
        <v>0.75</v>
      </c>
      <c r="I16" s="20">
        <f t="shared" si="2"/>
        <v>0.55200000000000005</v>
      </c>
      <c r="J16" s="26">
        <v>0</v>
      </c>
    </row>
    <row r="17" spans="1:10">
      <c r="A17" s="5" t="s">
        <v>16</v>
      </c>
      <c r="B17" s="22">
        <v>1.3100000000000001E-2</v>
      </c>
      <c r="C17" s="27" t="s">
        <v>17</v>
      </c>
      <c r="D17" s="19">
        <v>1.3100000000000001E-2</v>
      </c>
      <c r="E17" s="20">
        <v>52.684100000000001</v>
      </c>
      <c r="F17" s="18">
        <v>23.2</v>
      </c>
      <c r="G17" s="21">
        <f t="shared" si="0"/>
        <v>-0.56103943580700832</v>
      </c>
      <c r="H17" s="20">
        <f t="shared" si="1"/>
        <v>65.855125000000001</v>
      </c>
      <c r="I17" s="20">
        <f t="shared" si="2"/>
        <v>48.469372</v>
      </c>
      <c r="J17" s="20">
        <v>0</v>
      </c>
    </row>
    <row r="18" spans="1:10">
      <c r="A18" s="5" t="s">
        <v>18</v>
      </c>
      <c r="B18" s="22">
        <v>3.8100000000000002E-2</v>
      </c>
      <c r="C18" s="27" t="s">
        <v>56</v>
      </c>
      <c r="D18" s="19">
        <v>3.8100000000000002E-2</v>
      </c>
      <c r="E18" s="20">
        <v>1.98</v>
      </c>
      <c r="F18" s="18">
        <v>2.2599999999999998</v>
      </c>
      <c r="G18" s="21">
        <f t="shared" si="0"/>
        <v>0.14001414141414115</v>
      </c>
      <c r="H18" s="20">
        <f t="shared" si="1"/>
        <v>2.4750000000000001</v>
      </c>
      <c r="I18" s="20">
        <f t="shared" si="2"/>
        <v>1.8216000000000001</v>
      </c>
      <c r="J18" s="20">
        <v>2.2770000000000001</v>
      </c>
    </row>
    <row r="19" spans="1:10">
      <c r="A19" s="29" t="s">
        <v>19</v>
      </c>
      <c r="B19" s="32">
        <v>2.8799999999999999E-2</v>
      </c>
      <c r="C19" s="27" t="s">
        <v>20</v>
      </c>
      <c r="D19" s="19">
        <v>1.2699999999999999E-2</v>
      </c>
      <c r="E19" s="20">
        <v>23.686</v>
      </c>
      <c r="F19" s="18">
        <v>7.12</v>
      </c>
      <c r="G19" s="21">
        <f t="shared" si="0"/>
        <v>-0.70080048974077513</v>
      </c>
      <c r="H19" s="20">
        <f t="shared" si="1"/>
        <v>29.607500000000002</v>
      </c>
      <c r="I19" s="20">
        <f t="shared" si="2"/>
        <v>21.791119999999999</v>
      </c>
      <c r="J19" s="20">
        <v>0</v>
      </c>
    </row>
    <row r="20" spans="1:10">
      <c r="A20" s="29"/>
      <c r="B20" s="32"/>
      <c r="C20" s="27" t="s">
        <v>21</v>
      </c>
      <c r="D20" s="19">
        <v>1.61E-2</v>
      </c>
      <c r="E20" s="20">
        <v>59.759799999999998</v>
      </c>
      <c r="F20" s="18">
        <v>78.55</v>
      </c>
      <c r="G20" s="21">
        <f t="shared" si="0"/>
        <v>0.31302876314847095</v>
      </c>
      <c r="H20" s="20">
        <f t="shared" si="1"/>
        <v>93.374687499999993</v>
      </c>
      <c r="I20" s="20">
        <f t="shared" si="2"/>
        <v>68.723770000000002</v>
      </c>
      <c r="J20" s="20">
        <v>68.724000000000004</v>
      </c>
    </row>
    <row r="21" spans="1:10">
      <c r="A21" s="5" t="s">
        <v>22</v>
      </c>
      <c r="B21" s="22">
        <v>6.4000000000000003E-3</v>
      </c>
      <c r="C21" s="27" t="s">
        <v>23</v>
      </c>
      <c r="D21" s="19">
        <v>6.4000000000000003E-3</v>
      </c>
      <c r="E21" s="20">
        <v>5.5410000000000004</v>
      </c>
      <c r="F21" s="18">
        <v>1.45</v>
      </c>
      <c r="G21" s="21">
        <f t="shared" si="0"/>
        <v>-0.73971438368525544</v>
      </c>
      <c r="H21" s="20">
        <f t="shared" si="1"/>
        <v>6.9262500000000005</v>
      </c>
      <c r="I21" s="20">
        <f t="shared" si="2"/>
        <v>5.0977200000000007</v>
      </c>
      <c r="J21" s="20">
        <v>0</v>
      </c>
    </row>
    <row r="22" spans="1:10">
      <c r="A22" s="5" t="s">
        <v>24</v>
      </c>
      <c r="B22" s="22">
        <v>3.2000000000000002E-3</v>
      </c>
      <c r="C22" s="27" t="s">
        <v>25</v>
      </c>
      <c r="D22" s="19">
        <v>3.2000000000000002E-3</v>
      </c>
      <c r="E22" s="20">
        <v>28.935300000000002</v>
      </c>
      <c r="F22" s="18">
        <v>12.67</v>
      </c>
      <c r="G22" s="21">
        <f t="shared" si="0"/>
        <v>-0.5635265374818994</v>
      </c>
      <c r="H22" s="20">
        <f t="shared" si="1"/>
        <v>36.169125000000001</v>
      </c>
      <c r="I22" s="20">
        <f t="shared" si="2"/>
        <v>26.620476000000004</v>
      </c>
      <c r="J22" s="20">
        <v>0</v>
      </c>
    </row>
    <row r="23" spans="1:10">
      <c r="A23" s="16" t="s">
        <v>26</v>
      </c>
      <c r="B23" s="22">
        <v>3.5000000000000001E-3</v>
      </c>
      <c r="C23" s="27" t="s">
        <v>27</v>
      </c>
      <c r="D23" s="19">
        <v>3.5000000000000001E-3</v>
      </c>
      <c r="E23" s="20">
        <v>6.117</v>
      </c>
      <c r="F23" s="18">
        <v>2.64</v>
      </c>
      <c r="G23" s="21">
        <f t="shared" si="0"/>
        <v>-0.56981589014222656</v>
      </c>
      <c r="H23" s="20">
        <f t="shared" si="1"/>
        <v>7.6462500000000002</v>
      </c>
      <c r="I23" s="20">
        <f t="shared" si="2"/>
        <v>5.6276400000000004</v>
      </c>
      <c r="J23" s="20">
        <v>0</v>
      </c>
    </row>
    <row r="24" spans="1:10">
      <c r="A24" s="7"/>
      <c r="B24" s="14"/>
      <c r="D24" s="12"/>
      <c r="E24" s="13"/>
      <c r="G24"/>
      <c r="H24" s="13"/>
      <c r="I24" s="13"/>
      <c r="J24" s="13"/>
    </row>
    <row r="25" spans="1:10">
      <c r="A25" s="29" t="s">
        <v>52</v>
      </c>
      <c r="B25" s="29"/>
      <c r="C25" s="29"/>
      <c r="D25" s="29"/>
      <c r="E25" s="29"/>
      <c r="F25" s="29"/>
      <c r="G25" s="29"/>
      <c r="H25" s="29"/>
      <c r="I25" s="29"/>
      <c r="J25" s="29"/>
    </row>
    <row r="26" spans="1:10">
      <c r="A26" s="16" t="s">
        <v>0</v>
      </c>
      <c r="B26" s="30">
        <v>2.1749999999999998</v>
      </c>
      <c r="C26" s="30"/>
      <c r="D26" s="30"/>
      <c r="E26" s="30"/>
      <c r="F26" s="30"/>
      <c r="G26" s="16" t="s">
        <v>1</v>
      </c>
      <c r="H26" s="31">
        <v>-1.41E-2</v>
      </c>
      <c r="I26" s="31"/>
      <c r="J26" s="31"/>
    </row>
    <row r="27" spans="1:10">
      <c r="A27" s="16" t="s">
        <v>38</v>
      </c>
      <c r="B27" s="16" t="s">
        <v>39</v>
      </c>
      <c r="C27" s="16" t="s">
        <v>40</v>
      </c>
      <c r="D27" s="16" t="s">
        <v>41</v>
      </c>
      <c r="E27" s="16" t="s">
        <v>42</v>
      </c>
      <c r="F27" s="16" t="s">
        <v>43</v>
      </c>
      <c r="G27" s="16" t="s">
        <v>45</v>
      </c>
      <c r="H27" s="18" t="s">
        <v>46</v>
      </c>
      <c r="I27" s="18" t="s">
        <v>47</v>
      </c>
      <c r="J27" s="16" t="s">
        <v>48</v>
      </c>
    </row>
    <row r="28" spans="1:10">
      <c r="A28" s="16" t="s">
        <v>28</v>
      </c>
      <c r="B28" s="19">
        <v>1.4200000000000001E-2</v>
      </c>
      <c r="C28" s="28" t="s">
        <v>29</v>
      </c>
      <c r="D28" s="19">
        <v>1.4200000000000001E-2</v>
      </c>
      <c r="E28" s="23">
        <v>9.2799999999999994</v>
      </c>
      <c r="F28" s="23">
        <v>5.59</v>
      </c>
      <c r="G28" s="21">
        <f t="shared" ref="G28:G32" si="3">IF(E28&gt;0,F28/E28-1.0014,(F28-E28))</f>
        <v>-0.39902931034482758</v>
      </c>
      <c r="H28" s="20">
        <f t="shared" ref="H28:H32" si="4">IF(E28&gt;0, IF(E28*1.25 &gt; F28,E28*1.25, IF(E28*1.25^2 &gt; F28,E28*1.25^2, IF(E28*1.25^3 &gt; F28,E28*1.25^3, IF(E28*1.25^4 &gt; F28,E28*1.25^4, IF(E28*1.25^5 &gt; F28,E28*1.25^5, IF(E28*1.25^6 &gt; F28,E28*1.25^6, IF(E28*1.25^7 &gt; F28, E28*1.25^7, IF(E28*1.25^8 &gt; F28, E28*1.25^8, IF(E28*1.25^9 &gt; F28, E28*1.25^9, E28*1.25^10))))))))),IF(1.25 &gt; F28-E28,1.25, IF(1.25^2 &gt; F28-E28,1.25^2, IF(1.25^3 &gt; F28-E28,1.25^3, IF(1.25^4 &gt; F28-E28,1.25^4, IF(1.25^5 &gt; F28-E28,1.25^5, IF(1.25^6 &gt; F28-E28,1.25^6, IF(1.25^7 &gt; F28-E28, 1.25^7, IF(1.25^8 &gt; F28-E28, 1.25^8, IF(1.25^9 &gt; F28-E28, 1.25^9, IF(1.25^10 &gt; F28-E28, 1.25^10, IF(1.25^11 &gt; F28-E28, 1.25^11, IF(1.25^12 &gt; F28-E28, 1.25^12, IF(1.25^13 &gt; F28-E28, 1.25^13, IF(1.25^14 &gt; F28-E28, 1.25^14, IF(1.25^15 &gt; F28-E28, 1.25^15, IF(1.25^16 &gt; F28-E28, 1.25^16, IF(1.25^17 &gt; F28-E28, 1.25^17, IF(1.25^18 &gt; F28-E28, 1.25^18, IF(1.25^19 &gt; F28-E28, 1.25^19, 1.25^20))))))))))))))))))))</f>
        <v>11.6</v>
      </c>
      <c r="I28" s="20">
        <f>H28/1.25*0.92</f>
        <v>8.5375999999999994</v>
      </c>
      <c r="J28" s="20">
        <v>0</v>
      </c>
    </row>
    <row r="29" spans="1:10">
      <c r="A29" s="16" t="s">
        <v>30</v>
      </c>
      <c r="B29" s="19">
        <v>4.8999999999999998E-3</v>
      </c>
      <c r="C29" s="28" t="s">
        <v>31</v>
      </c>
      <c r="D29" s="19">
        <v>4.8999999999999998E-3</v>
      </c>
      <c r="E29" s="23">
        <v>33.82</v>
      </c>
      <c r="F29" s="23">
        <v>16.559999999999999</v>
      </c>
      <c r="G29" s="21">
        <f t="shared" si="3"/>
        <v>-0.51174890597279732</v>
      </c>
      <c r="H29" s="20">
        <f t="shared" si="4"/>
        <v>42.274999999999999</v>
      </c>
      <c r="I29" s="20">
        <f t="shared" ref="I29:I32" si="5">H29/1.25*0.92</f>
        <v>31.114400000000003</v>
      </c>
      <c r="J29" s="20">
        <v>0</v>
      </c>
    </row>
    <row r="30" spans="1:10">
      <c r="A30" s="6" t="s">
        <v>58</v>
      </c>
      <c r="B30" s="24">
        <v>7.1000000000000004E-3</v>
      </c>
      <c r="C30" s="28" t="s">
        <v>55</v>
      </c>
      <c r="D30" s="19">
        <v>7.1000000000000004E-3</v>
      </c>
      <c r="E30" s="23">
        <v>22.58</v>
      </c>
      <c r="F30" s="23">
        <v>23.97</v>
      </c>
      <c r="G30" s="21">
        <f t="shared" si="3"/>
        <v>6.0158901682905164E-2</v>
      </c>
      <c r="H30" s="20">
        <f t="shared" si="4"/>
        <v>28.224999999999998</v>
      </c>
      <c r="I30" s="20">
        <f t="shared" si="5"/>
        <v>20.773599999999998</v>
      </c>
      <c r="J30" s="20">
        <v>0</v>
      </c>
    </row>
    <row r="31" spans="1:10">
      <c r="A31" s="29" t="s">
        <v>32</v>
      </c>
      <c r="B31" s="33">
        <v>2.76E-2</v>
      </c>
      <c r="C31" s="28" t="s">
        <v>33</v>
      </c>
      <c r="D31" s="19">
        <v>5.9999999999999995E-4</v>
      </c>
      <c r="E31" s="23">
        <v>36.299999999999997</v>
      </c>
      <c r="F31" s="23">
        <v>29</v>
      </c>
      <c r="G31" s="21">
        <f t="shared" si="3"/>
        <v>-0.20250192837465564</v>
      </c>
      <c r="H31" s="20">
        <f t="shared" si="4"/>
        <v>45.375</v>
      </c>
      <c r="I31" s="20">
        <f t="shared" si="5"/>
        <v>33.396000000000001</v>
      </c>
      <c r="J31" s="20"/>
    </row>
    <row r="32" spans="1:10">
      <c r="A32" s="29"/>
      <c r="B32" s="33"/>
      <c r="C32" s="28" t="s">
        <v>54</v>
      </c>
      <c r="D32" s="19">
        <v>2.7E-2</v>
      </c>
      <c r="E32" s="23">
        <v>111.03400000000001</v>
      </c>
      <c r="F32" s="23">
        <v>52.8</v>
      </c>
      <c r="G32" s="21">
        <f t="shared" si="3"/>
        <v>-0.52586998216762448</v>
      </c>
      <c r="H32" s="20">
        <f t="shared" si="4"/>
        <v>138.79250000000002</v>
      </c>
      <c r="I32" s="20">
        <f t="shared" si="5"/>
        <v>102.15128000000003</v>
      </c>
      <c r="J32" s="20">
        <v>0</v>
      </c>
    </row>
    <row r="33" spans="1:10">
      <c r="A33" s="8"/>
      <c r="B33" s="25"/>
      <c r="H33" s="13"/>
      <c r="I33" s="13"/>
      <c r="J33" s="13"/>
    </row>
    <row r="34" spans="1:10">
      <c r="A34" s="29" t="s">
        <v>53</v>
      </c>
      <c r="B34" s="29"/>
      <c r="C34" s="29"/>
      <c r="D34" s="15"/>
      <c r="E34" s="15"/>
      <c r="F34" s="15"/>
      <c r="G34" s="15"/>
      <c r="H34" s="15"/>
      <c r="I34" s="15"/>
      <c r="J34" s="15"/>
    </row>
    <row r="35" spans="1:10">
      <c r="A35" s="16" t="s">
        <v>49</v>
      </c>
      <c r="B35" s="16" t="s">
        <v>50</v>
      </c>
      <c r="C35" s="16" t="s">
        <v>44</v>
      </c>
    </row>
    <row r="36" spans="1:10">
      <c r="A36" s="16" t="s">
        <v>34</v>
      </c>
      <c r="B36" s="16">
        <v>154004.837</v>
      </c>
      <c r="C36" s="17">
        <f>A2*B36</f>
        <v>392404.32467599999</v>
      </c>
    </row>
  </sheetData>
  <mergeCells count="19">
    <mergeCell ref="B31:B32"/>
    <mergeCell ref="A10:A11"/>
    <mergeCell ref="B10:B11"/>
    <mergeCell ref="A34:C34"/>
    <mergeCell ref="A4:J4"/>
    <mergeCell ref="B5:F5"/>
    <mergeCell ref="H5:J5"/>
    <mergeCell ref="A7:A9"/>
    <mergeCell ref="B7:B9"/>
    <mergeCell ref="A13:A14"/>
    <mergeCell ref="B13:B14"/>
    <mergeCell ref="A15:A16"/>
    <mergeCell ref="B15:B16"/>
    <mergeCell ref="A19:A20"/>
    <mergeCell ref="B19:B20"/>
    <mergeCell ref="A25:J25"/>
    <mergeCell ref="B26:F26"/>
    <mergeCell ref="H26:J26"/>
    <mergeCell ref="A31:A32"/>
  </mergeCells>
  <phoneticPr fontId="18" type="noConversion"/>
  <conditionalFormatting sqref="F11">
    <cfRule type="cellIs" dxfId="7" priority="1" stopIfTrue="1" operator="lessThan">
      <formula>$J$11</formula>
    </cfRule>
  </conditionalFormatting>
  <conditionalFormatting sqref="F30">
    <cfRule type="cellIs" dxfId="6" priority="15" stopIfTrue="1" operator="lessThan">
      <formula>$J$30</formula>
    </cfRule>
  </conditionalFormatting>
  <conditionalFormatting sqref="G7:G23 G28:G32">
    <cfRule type="cellIs" dxfId="5" priority="2" stopIfTrue="1" operator="lessThan">
      <formula>0</formula>
    </cfRule>
    <cfRule type="cellIs" dxfId="4" priority="3" stopIfTrue="1" operator="greaterThanOrEqual">
      <formula>0</formula>
    </cfRule>
  </conditionalFormatting>
  <conditionalFormatting sqref="H7:H24">
    <cfRule type="cellIs" dxfId="3" priority="5" stopIfTrue="1" operator="greaterThan">
      <formula>E7*1.25</formula>
    </cfRule>
  </conditionalFormatting>
  <conditionalFormatting sqref="H28">
    <cfRule type="cellIs" dxfId="2" priority="6" stopIfTrue="1" operator="greaterThan">
      <formula>E28*1.25</formula>
    </cfRule>
  </conditionalFormatting>
  <conditionalFormatting sqref="H29:H33">
    <cfRule type="cellIs" dxfId="1" priority="14" stopIfTrue="1" operator="greaterThan">
      <formula>E29 * 1.25</formula>
    </cfRule>
  </conditionalFormatting>
  <conditionalFormatting sqref="I7:J24 I28:J33">
    <cfRule type="cellIs" dxfId="0" priority="4" stopIfTrue="1" operator="greaterThan">
      <formula>0</formula>
    </cfRule>
  </conditionalFormatting>
  <pageMargins left="0" right="0" top="0.39370000000000005" bottom="0.393700000000000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11198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学男 董</cp:lastModifiedBy>
  <cp:revision>805</cp:revision>
  <dcterms:created xsi:type="dcterms:W3CDTF">2017-06-23T23:02:58Z</dcterms:created>
  <dcterms:modified xsi:type="dcterms:W3CDTF">2026-06-27T06:47:40Z</dcterms:modified>
</cp:coreProperties>
</file>